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</workbook>
</file>

<file path=xl/sharedStrings.xml><?xml version="1.0" encoding="utf-8"?>
<sst xmlns="http://schemas.openxmlformats.org/spreadsheetml/2006/main" count="7" uniqueCount="7">
  <si>
    <t>Year</t>
  </si>
  <si>
    <t>Polaroid_Pop</t>
  </si>
  <si>
    <t>Vinyl_Pop</t>
  </si>
  <si>
    <t>Cassette_Pop</t>
  </si>
  <si>
    <t>DVD_Pop</t>
  </si>
  <si>
    <t>Typewriter_Pop</t>
  </si>
  <si>
    <t>Tech_Comeback_Index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</si>
</sst>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134F5C"/>
        <bgColor rgb="FF134F5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horizontal="right" vertical="bottom"/>
    </xf>
    <xf borderId="0" fillId="3" fontId="1" numFmtId="0" xfId="0" applyAlignment="1" applyFont="1">
      <alignment horizontal="right" vertical="bottom"/>
    </xf>
    <xf borderId="0" fillId="6" fontId="1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>
        <v>1965.0</v>
      </c>
      <c r="B2" s="4">
        <v>0.66</v>
      </c>
      <c r="C2" s="4">
        <v>-0.5</v>
      </c>
      <c r="D2" s="4">
        <v>-0.95</v>
      </c>
      <c r="E2" s="4">
        <v>-0.96</v>
      </c>
      <c r="F2" s="4">
        <v>-0.03</v>
      </c>
      <c r="G2" s="5">
        <f t="shared" ref="G2:G62" si="1">AVERAGE(B2:F2)</f>
        <v>-0.356</v>
      </c>
    </row>
    <row r="3">
      <c r="A3" s="3">
        <v>1966.0</v>
      </c>
      <c r="B3" s="4">
        <v>1.26</v>
      </c>
      <c r="C3" s="4">
        <v>-0.37</v>
      </c>
      <c r="D3" s="4">
        <v>-0.93</v>
      </c>
      <c r="E3" s="4">
        <v>-0.97</v>
      </c>
      <c r="F3" s="4">
        <v>-0.07</v>
      </c>
      <c r="G3" s="5">
        <f t="shared" si="1"/>
        <v>-0.216</v>
      </c>
    </row>
    <row r="4">
      <c r="A4" s="3">
        <f>(A3 + 1)</f>
        <v>1967</v>
      </c>
      <c r="B4" s="4">
        <v>1.76</v>
      </c>
      <c r="C4" s="4">
        <v>-0.29</v>
      </c>
      <c r="D4" s="4">
        <v>-0.85</v>
      </c>
      <c r="E4" s="4">
        <v>-0.89</v>
      </c>
      <c r="F4" s="4">
        <v>0.01</v>
      </c>
      <c r="G4" s="5">
        <f t="shared" si="1"/>
        <v>-0.052</v>
      </c>
    </row>
    <row r="5">
      <c r="A5" s="3">
        <f t="shared" ref="A5:A62" si="2">A4 + 1</f>
        <v>1968</v>
      </c>
      <c r="B5" s="4">
        <v>0.45</v>
      </c>
      <c r="C5" s="4">
        <v>-0.62</v>
      </c>
      <c r="D5" s="4">
        <v>-0.85</v>
      </c>
      <c r="E5" s="4">
        <v>-0.95</v>
      </c>
      <c r="F5" s="4">
        <v>-0.23</v>
      </c>
      <c r="G5" s="5">
        <f t="shared" si="1"/>
        <v>-0.44</v>
      </c>
    </row>
    <row r="6">
      <c r="A6" s="3">
        <f t="shared" si="2"/>
        <v>1969</v>
      </c>
      <c r="B6" s="4">
        <v>-0.21</v>
      </c>
      <c r="C6" s="4">
        <v>-0.58</v>
      </c>
      <c r="D6" s="4">
        <v>-0.76</v>
      </c>
      <c r="E6" s="4">
        <v>-0.97</v>
      </c>
      <c r="F6" s="4">
        <v>-0.23</v>
      </c>
      <c r="G6" s="5">
        <f t="shared" si="1"/>
        <v>-0.55</v>
      </c>
    </row>
    <row r="7">
      <c r="A7" s="3">
        <f t="shared" si="2"/>
        <v>1970</v>
      </c>
      <c r="B7" s="4">
        <v>0.57</v>
      </c>
      <c r="C7" s="4">
        <v>-0.21</v>
      </c>
      <c r="D7" s="4">
        <v>-0.7</v>
      </c>
      <c r="E7" s="4">
        <v>-0.97</v>
      </c>
      <c r="F7" s="4">
        <v>-0.25</v>
      </c>
      <c r="G7" s="5">
        <f t="shared" si="1"/>
        <v>-0.312</v>
      </c>
    </row>
    <row r="8">
      <c r="A8" s="3">
        <f t="shared" si="2"/>
        <v>1971</v>
      </c>
      <c r="B8" s="4">
        <v>1.72</v>
      </c>
      <c r="C8" s="4">
        <v>-0.11</v>
      </c>
      <c r="D8" s="4">
        <v>-0.61</v>
      </c>
      <c r="E8" s="4">
        <v>-0.96</v>
      </c>
      <c r="F8" s="4">
        <v>-0.25</v>
      </c>
      <c r="G8" s="5">
        <f t="shared" si="1"/>
        <v>-0.042</v>
      </c>
    </row>
    <row r="9">
      <c r="A9" s="3">
        <f t="shared" si="2"/>
        <v>1972</v>
      </c>
      <c r="B9" s="4">
        <v>0.15</v>
      </c>
      <c r="C9" s="4">
        <v>-0.01</v>
      </c>
      <c r="D9" s="4">
        <v>-0.58</v>
      </c>
      <c r="E9" s="4">
        <v>-0.96</v>
      </c>
      <c r="F9" s="4">
        <v>-0.28</v>
      </c>
      <c r="G9" s="5">
        <f t="shared" si="1"/>
        <v>-0.336</v>
      </c>
    </row>
    <row r="10">
      <c r="A10" s="3">
        <f t="shared" si="2"/>
        <v>1973</v>
      </c>
      <c r="B10" s="4">
        <v>0.19</v>
      </c>
      <c r="C10" s="4">
        <v>0.34</v>
      </c>
      <c r="D10" s="4">
        <v>-0.59</v>
      </c>
      <c r="E10" s="4">
        <v>-0.95</v>
      </c>
      <c r="F10" s="4">
        <v>0.18</v>
      </c>
      <c r="G10" s="5">
        <f t="shared" si="1"/>
        <v>-0.166</v>
      </c>
    </row>
    <row r="11">
      <c r="A11" s="3">
        <f t="shared" si="2"/>
        <v>1974</v>
      </c>
      <c r="B11" s="4">
        <v>0.06</v>
      </c>
      <c r="C11" s="4">
        <v>0.4</v>
      </c>
      <c r="D11" s="4">
        <v>-0.5</v>
      </c>
      <c r="E11" s="4">
        <v>-0.76</v>
      </c>
      <c r="F11" s="4">
        <v>0.15</v>
      </c>
      <c r="G11" s="5">
        <f t="shared" si="1"/>
        <v>-0.13</v>
      </c>
    </row>
    <row r="12">
      <c r="A12" s="3">
        <f t="shared" si="2"/>
        <v>1975</v>
      </c>
      <c r="B12" s="4">
        <v>-0.02</v>
      </c>
      <c r="C12" s="4">
        <v>0.46</v>
      </c>
      <c r="D12" s="4">
        <v>-0.47</v>
      </c>
      <c r="E12" s="4">
        <v>-0.94</v>
      </c>
      <c r="F12" s="4">
        <v>-0.01</v>
      </c>
      <c r="G12" s="5">
        <f t="shared" si="1"/>
        <v>-0.196</v>
      </c>
    </row>
    <row r="13">
      <c r="A13" s="3">
        <f t="shared" si="2"/>
        <v>1976</v>
      </c>
      <c r="B13" s="4">
        <v>-0.02</v>
      </c>
      <c r="C13" s="4">
        <v>1.04</v>
      </c>
      <c r="D13" s="4">
        <v>-0.26</v>
      </c>
      <c r="E13" s="4">
        <v>-0.8</v>
      </c>
      <c r="F13" s="4">
        <v>0.31</v>
      </c>
      <c r="G13" s="5">
        <f t="shared" si="1"/>
        <v>0.054</v>
      </c>
    </row>
    <row r="14">
      <c r="A14" s="3">
        <f t="shared" si="2"/>
        <v>1977</v>
      </c>
      <c r="B14" s="4">
        <v>0.13</v>
      </c>
      <c r="C14" s="4">
        <v>1.15</v>
      </c>
      <c r="D14" s="4">
        <v>0.05</v>
      </c>
      <c r="E14" s="4">
        <v>-0.91</v>
      </c>
      <c r="F14" s="4">
        <v>0.83</v>
      </c>
      <c r="G14" s="5">
        <f t="shared" si="1"/>
        <v>0.25</v>
      </c>
    </row>
    <row r="15">
      <c r="A15" s="3">
        <f t="shared" si="2"/>
        <v>1978</v>
      </c>
      <c r="B15" s="4">
        <v>0.09</v>
      </c>
      <c r="C15" s="4">
        <v>0.65</v>
      </c>
      <c r="D15" s="4">
        <v>-0.04</v>
      </c>
      <c r="E15" s="4">
        <v>-0.96</v>
      </c>
      <c r="F15" s="4">
        <v>0.37</v>
      </c>
      <c r="G15" s="5">
        <f t="shared" si="1"/>
        <v>0.022</v>
      </c>
    </row>
    <row r="16">
      <c r="A16" s="3">
        <f t="shared" si="2"/>
        <v>1979</v>
      </c>
      <c r="B16" s="4">
        <v>0.35</v>
      </c>
      <c r="C16" s="4">
        <v>1.43</v>
      </c>
      <c r="D16" s="4">
        <v>0.36</v>
      </c>
      <c r="E16" s="4">
        <v>-0.66</v>
      </c>
      <c r="F16" s="4">
        <v>0.73</v>
      </c>
      <c r="G16" s="5">
        <f t="shared" si="1"/>
        <v>0.442</v>
      </c>
    </row>
    <row r="17">
      <c r="A17" s="3">
        <f t="shared" si="2"/>
        <v>1980</v>
      </c>
      <c r="B17" s="4">
        <v>0.24</v>
      </c>
      <c r="C17" s="4">
        <v>1.76</v>
      </c>
      <c r="D17" s="4">
        <v>0.48</v>
      </c>
      <c r="E17" s="4">
        <v>-0.94</v>
      </c>
      <c r="F17" s="4">
        <v>0.75</v>
      </c>
      <c r="G17" s="5">
        <f t="shared" si="1"/>
        <v>0.458</v>
      </c>
    </row>
    <row r="18">
      <c r="A18" s="3">
        <f t="shared" si="2"/>
        <v>1981</v>
      </c>
      <c r="B18" s="4">
        <v>0.1</v>
      </c>
      <c r="C18" s="4">
        <v>0.87</v>
      </c>
      <c r="D18" s="4">
        <v>0.82</v>
      </c>
      <c r="E18" s="4">
        <v>-0.9</v>
      </c>
      <c r="F18" s="4">
        <v>1.27</v>
      </c>
      <c r="G18" s="5">
        <f t="shared" si="1"/>
        <v>0.432</v>
      </c>
    </row>
    <row r="19">
      <c r="A19" s="3">
        <f t="shared" si="2"/>
        <v>1982</v>
      </c>
      <c r="B19" s="4">
        <v>0.18</v>
      </c>
      <c r="C19" s="4">
        <v>2.68</v>
      </c>
      <c r="D19" s="4">
        <v>1.68</v>
      </c>
      <c r="E19" s="4">
        <v>-0.68</v>
      </c>
      <c r="F19" s="4">
        <v>2.64</v>
      </c>
      <c r="G19" s="5">
        <f t="shared" si="1"/>
        <v>1.3</v>
      </c>
    </row>
    <row r="20">
      <c r="A20" s="3">
        <f t="shared" si="2"/>
        <v>1983</v>
      </c>
      <c r="B20" s="4">
        <v>0.76</v>
      </c>
      <c r="C20" s="4">
        <v>1.96</v>
      </c>
      <c r="D20" s="4">
        <v>2.57</v>
      </c>
      <c r="E20" s="4">
        <v>-0.9</v>
      </c>
      <c r="F20" s="4">
        <v>3.33</v>
      </c>
      <c r="G20" s="5">
        <f t="shared" si="1"/>
        <v>1.544</v>
      </c>
    </row>
    <row r="21">
      <c r="A21" s="3">
        <f t="shared" si="2"/>
        <v>1984</v>
      </c>
      <c r="B21" s="4">
        <v>1.54</v>
      </c>
      <c r="C21" s="4">
        <v>1.63</v>
      </c>
      <c r="D21" s="4">
        <v>2.85</v>
      </c>
      <c r="E21" s="4">
        <v>-0.88</v>
      </c>
      <c r="F21" s="4">
        <v>2.95</v>
      </c>
      <c r="G21" s="5">
        <f t="shared" si="1"/>
        <v>1.618</v>
      </c>
    </row>
    <row r="22">
      <c r="A22" s="3">
        <f t="shared" si="2"/>
        <v>1985</v>
      </c>
      <c r="B22" s="4">
        <v>1.86</v>
      </c>
      <c r="C22" s="4">
        <v>1.13</v>
      </c>
      <c r="D22" s="4">
        <v>2.69</v>
      </c>
      <c r="E22" s="4">
        <v>-0.89</v>
      </c>
      <c r="F22" s="4">
        <v>2.5</v>
      </c>
      <c r="G22" s="5">
        <f t="shared" si="1"/>
        <v>1.458</v>
      </c>
    </row>
    <row r="23">
      <c r="A23" s="3">
        <f t="shared" si="2"/>
        <v>1986</v>
      </c>
      <c r="B23" s="4">
        <v>1.68</v>
      </c>
      <c r="C23" s="4">
        <v>1.36</v>
      </c>
      <c r="D23" s="4">
        <v>1.92</v>
      </c>
      <c r="E23" s="4">
        <v>-0.88</v>
      </c>
      <c r="F23" s="4">
        <v>1.69</v>
      </c>
      <c r="G23" s="5">
        <f t="shared" si="1"/>
        <v>1.154</v>
      </c>
    </row>
    <row r="24">
      <c r="A24" s="3">
        <f t="shared" si="2"/>
        <v>1987</v>
      </c>
      <c r="B24" s="4">
        <v>1.65</v>
      </c>
      <c r="C24" s="4">
        <v>1.57</v>
      </c>
      <c r="D24" s="4">
        <v>1.67</v>
      </c>
      <c r="E24" s="4">
        <v>-0.58</v>
      </c>
      <c r="F24" s="4">
        <v>1.61</v>
      </c>
      <c r="G24" s="5">
        <f t="shared" si="1"/>
        <v>1.184</v>
      </c>
    </row>
    <row r="25">
      <c r="A25" s="3">
        <f t="shared" si="2"/>
        <v>1988</v>
      </c>
      <c r="B25" s="4">
        <v>1.67</v>
      </c>
      <c r="C25" s="4">
        <v>1.11</v>
      </c>
      <c r="D25" s="4">
        <v>1.44</v>
      </c>
      <c r="E25" s="4">
        <v>-0.9</v>
      </c>
      <c r="F25" s="4">
        <v>0.94</v>
      </c>
      <c r="G25" s="5">
        <f t="shared" si="1"/>
        <v>0.852</v>
      </c>
    </row>
    <row r="26">
      <c r="A26" s="3">
        <f t="shared" si="2"/>
        <v>1989</v>
      </c>
      <c r="B26" s="4">
        <v>1.91</v>
      </c>
      <c r="C26" s="4">
        <v>0.56</v>
      </c>
      <c r="D26" s="4">
        <v>1.4</v>
      </c>
      <c r="E26" s="4">
        <v>-0.91</v>
      </c>
      <c r="F26" s="4">
        <v>0.65</v>
      </c>
      <c r="G26" s="5">
        <f t="shared" si="1"/>
        <v>0.722</v>
      </c>
    </row>
    <row r="27">
      <c r="A27" s="3">
        <f t="shared" si="2"/>
        <v>1990</v>
      </c>
      <c r="B27" s="4">
        <v>1.25</v>
      </c>
      <c r="C27" s="4">
        <v>-0.07</v>
      </c>
      <c r="D27" s="4">
        <v>1.37</v>
      </c>
      <c r="E27" s="4">
        <v>-0.74</v>
      </c>
      <c r="F27" s="4">
        <v>0.77</v>
      </c>
      <c r="G27" s="5">
        <f t="shared" si="1"/>
        <v>0.516</v>
      </c>
    </row>
    <row r="28">
      <c r="A28" s="3">
        <f t="shared" si="2"/>
        <v>1991</v>
      </c>
      <c r="B28" s="4">
        <v>0.81</v>
      </c>
      <c r="C28" s="4">
        <v>0.13</v>
      </c>
      <c r="D28" s="4">
        <v>1.18</v>
      </c>
      <c r="E28" s="4">
        <v>-0.78</v>
      </c>
      <c r="F28" s="4">
        <v>0.31</v>
      </c>
      <c r="G28" s="5">
        <f t="shared" si="1"/>
        <v>0.33</v>
      </c>
    </row>
    <row r="29">
      <c r="A29" s="3">
        <f t="shared" si="2"/>
        <v>1992</v>
      </c>
      <c r="B29" s="4">
        <v>1.6</v>
      </c>
      <c r="C29" s="4">
        <v>0.62</v>
      </c>
      <c r="D29" s="4">
        <v>1.12</v>
      </c>
      <c r="E29" s="4">
        <v>-0.49</v>
      </c>
      <c r="F29" s="4">
        <v>0.34</v>
      </c>
      <c r="G29" s="5">
        <f t="shared" si="1"/>
        <v>0.638</v>
      </c>
    </row>
    <row r="30">
      <c r="A30" s="3">
        <f t="shared" si="2"/>
        <v>1993</v>
      </c>
      <c r="B30" s="4">
        <v>0.58</v>
      </c>
      <c r="C30" s="4">
        <v>0.56</v>
      </c>
      <c r="D30" s="4">
        <v>0.91</v>
      </c>
      <c r="E30" s="4">
        <v>-0.59</v>
      </c>
      <c r="F30" s="4">
        <v>0.16</v>
      </c>
      <c r="G30" s="5">
        <f t="shared" si="1"/>
        <v>0.324</v>
      </c>
    </row>
    <row r="31">
      <c r="A31" s="3">
        <f t="shared" si="2"/>
        <v>1994</v>
      </c>
      <c r="B31" s="4">
        <v>0.53</v>
      </c>
      <c r="C31" s="4">
        <v>0.9</v>
      </c>
      <c r="D31" s="4">
        <v>0.76</v>
      </c>
      <c r="E31" s="4">
        <v>-0.84</v>
      </c>
      <c r="F31" s="4">
        <v>-0.04</v>
      </c>
      <c r="G31" s="5">
        <f t="shared" si="1"/>
        <v>0.262</v>
      </c>
    </row>
    <row r="32">
      <c r="A32" s="3">
        <f t="shared" si="2"/>
        <v>1995</v>
      </c>
      <c r="B32" s="4">
        <v>1.19</v>
      </c>
      <c r="C32" s="4">
        <v>0.82</v>
      </c>
      <c r="D32" s="4">
        <v>0.66</v>
      </c>
      <c r="E32" s="4">
        <v>-0.65</v>
      </c>
      <c r="F32" s="4">
        <v>-0.22</v>
      </c>
      <c r="G32" s="5">
        <f t="shared" si="1"/>
        <v>0.36</v>
      </c>
    </row>
    <row r="33">
      <c r="A33" s="3">
        <f t="shared" si="2"/>
        <v>1996</v>
      </c>
      <c r="B33" s="4">
        <v>0.1</v>
      </c>
      <c r="C33" s="4">
        <v>0.61</v>
      </c>
      <c r="D33" s="4">
        <v>0.32</v>
      </c>
      <c r="E33" s="4">
        <v>-0.22</v>
      </c>
      <c r="F33" s="4">
        <v>-0.21</v>
      </c>
      <c r="G33" s="5">
        <f t="shared" si="1"/>
        <v>0.12</v>
      </c>
    </row>
    <row r="34">
      <c r="A34" s="3">
        <f t="shared" si="2"/>
        <v>1997</v>
      </c>
      <c r="B34" s="4">
        <v>-0.03</v>
      </c>
      <c r="C34" s="4">
        <v>0.57</v>
      </c>
      <c r="D34" s="4">
        <v>0.21</v>
      </c>
      <c r="E34" s="4">
        <v>0.65</v>
      </c>
      <c r="F34" s="4">
        <v>-0.42</v>
      </c>
      <c r="G34" s="5">
        <f t="shared" si="1"/>
        <v>0.196</v>
      </c>
    </row>
    <row r="35">
      <c r="A35" s="3">
        <f t="shared" si="2"/>
        <v>1998</v>
      </c>
      <c r="B35" s="4">
        <v>0.11</v>
      </c>
      <c r="C35" s="4">
        <v>0.16</v>
      </c>
      <c r="D35" s="4">
        <v>0.0</v>
      </c>
      <c r="E35" s="4">
        <v>1.31</v>
      </c>
      <c r="F35" s="4">
        <v>-0.48</v>
      </c>
      <c r="G35" s="5">
        <f t="shared" si="1"/>
        <v>0.22</v>
      </c>
    </row>
    <row r="36">
      <c r="A36" s="3">
        <f t="shared" si="2"/>
        <v>1999</v>
      </c>
      <c r="B36" s="4">
        <v>-0.21</v>
      </c>
      <c r="C36" s="4">
        <v>-0.15</v>
      </c>
      <c r="D36" s="4">
        <v>-0.3</v>
      </c>
      <c r="E36" s="4">
        <v>1.62</v>
      </c>
      <c r="F36" s="4">
        <v>-0.57</v>
      </c>
      <c r="G36" s="5">
        <f t="shared" si="1"/>
        <v>0.078</v>
      </c>
    </row>
    <row r="37">
      <c r="A37" s="3">
        <f t="shared" si="2"/>
        <v>2000</v>
      </c>
      <c r="B37" s="4">
        <v>-0.49</v>
      </c>
      <c r="C37" s="4">
        <v>0.1</v>
      </c>
      <c r="D37" s="4">
        <v>-0.34</v>
      </c>
      <c r="E37" s="4">
        <v>2.35</v>
      </c>
      <c r="F37" s="4">
        <v>-0.58</v>
      </c>
      <c r="G37" s="5">
        <f t="shared" si="1"/>
        <v>0.208</v>
      </c>
    </row>
    <row r="38">
      <c r="A38" s="3">
        <f t="shared" si="2"/>
        <v>2001</v>
      </c>
      <c r="B38" s="4">
        <v>-0.89</v>
      </c>
      <c r="C38" s="4">
        <v>-1.42</v>
      </c>
      <c r="D38" s="4">
        <v>-0.59</v>
      </c>
      <c r="E38" s="4">
        <v>1.46</v>
      </c>
      <c r="F38" s="4">
        <v>-0.83</v>
      </c>
      <c r="G38" s="5">
        <f t="shared" si="1"/>
        <v>-0.454</v>
      </c>
    </row>
    <row r="39">
      <c r="A39" s="3">
        <f t="shared" si="2"/>
        <v>2002</v>
      </c>
      <c r="B39" s="4">
        <v>-0.96</v>
      </c>
      <c r="C39" s="4">
        <v>-1.32</v>
      </c>
      <c r="D39" s="4">
        <v>-0.67</v>
      </c>
      <c r="E39" s="4">
        <v>1.47</v>
      </c>
      <c r="F39" s="4">
        <v>-0.82</v>
      </c>
      <c r="G39" s="5">
        <f t="shared" si="1"/>
        <v>-0.46</v>
      </c>
    </row>
    <row r="40">
      <c r="A40" s="3">
        <f t="shared" si="2"/>
        <v>2003</v>
      </c>
      <c r="B40" s="4">
        <v>-1.15</v>
      </c>
      <c r="C40" s="4">
        <v>-1.41</v>
      </c>
      <c r="D40" s="4">
        <v>-0.68</v>
      </c>
      <c r="E40" s="4">
        <v>1.1</v>
      </c>
      <c r="F40" s="4">
        <v>-0.81</v>
      </c>
      <c r="G40" s="5">
        <f t="shared" si="1"/>
        <v>-0.59</v>
      </c>
    </row>
    <row r="41">
      <c r="A41" s="3">
        <f t="shared" si="2"/>
        <v>2004</v>
      </c>
      <c r="B41" s="6">
        <v>0.35</v>
      </c>
      <c r="C41" s="6">
        <v>-0.74</v>
      </c>
      <c r="D41" s="6">
        <v>1.39</v>
      </c>
      <c r="E41" s="6">
        <v>1.48</v>
      </c>
      <c r="F41" s="6">
        <v>1.38</v>
      </c>
      <c r="G41" s="5">
        <f t="shared" si="1"/>
        <v>0.772</v>
      </c>
    </row>
    <row r="42">
      <c r="A42" s="3">
        <f t="shared" si="2"/>
        <v>2005</v>
      </c>
      <c r="B42" s="6">
        <v>0.28</v>
      </c>
      <c r="C42" s="6">
        <v>-0.36</v>
      </c>
      <c r="D42" s="6">
        <v>1.19</v>
      </c>
      <c r="E42" s="6">
        <v>1.52</v>
      </c>
      <c r="F42" s="6">
        <v>0.95</v>
      </c>
      <c r="G42" s="5">
        <f t="shared" si="1"/>
        <v>0.716</v>
      </c>
    </row>
    <row r="43">
      <c r="A43" s="3">
        <f t="shared" si="2"/>
        <v>2006</v>
      </c>
      <c r="B43" s="6">
        <v>0.06</v>
      </c>
      <c r="C43" s="6">
        <v>-0.78</v>
      </c>
      <c r="D43" s="6">
        <v>0.47</v>
      </c>
      <c r="E43" s="6">
        <v>1.54</v>
      </c>
      <c r="F43" s="6">
        <v>0.03</v>
      </c>
      <c r="G43" s="5">
        <f t="shared" si="1"/>
        <v>0.264</v>
      </c>
    </row>
    <row r="44">
      <c r="A44" s="3">
        <f t="shared" si="2"/>
        <v>2007</v>
      </c>
      <c r="B44" s="6">
        <v>-0.22</v>
      </c>
      <c r="C44" s="6">
        <v>-0.8</v>
      </c>
      <c r="D44" s="6">
        <v>0.21</v>
      </c>
      <c r="E44" s="6">
        <v>1.01</v>
      </c>
      <c r="F44" s="6">
        <v>-0.26</v>
      </c>
      <c r="G44" s="5">
        <f t="shared" si="1"/>
        <v>-0.012</v>
      </c>
    </row>
    <row r="45">
      <c r="A45" s="3">
        <f t="shared" si="2"/>
        <v>2008</v>
      </c>
      <c r="B45" s="6">
        <v>-0.48</v>
      </c>
      <c r="C45" s="6">
        <v>-0.55</v>
      </c>
      <c r="D45" s="6">
        <v>-0.31</v>
      </c>
      <c r="E45" s="6">
        <v>0.95</v>
      </c>
      <c r="F45" s="6">
        <v>-0.38</v>
      </c>
      <c r="G45" s="5">
        <f t="shared" si="1"/>
        <v>-0.154</v>
      </c>
    </row>
    <row r="46">
      <c r="A46" s="3">
        <f t="shared" si="2"/>
        <v>2009</v>
      </c>
      <c r="B46" s="6">
        <v>-0.2</v>
      </c>
      <c r="C46" s="6">
        <v>-0.05</v>
      </c>
      <c r="D46" s="6">
        <v>-0.34</v>
      </c>
      <c r="E46" s="6">
        <v>1.09</v>
      </c>
      <c r="F46" s="6">
        <v>-0.25</v>
      </c>
      <c r="G46" s="5">
        <f t="shared" si="1"/>
        <v>0.05</v>
      </c>
    </row>
    <row r="47">
      <c r="A47" s="3">
        <f t="shared" si="2"/>
        <v>2010</v>
      </c>
      <c r="B47" s="6">
        <v>-0.21</v>
      </c>
      <c r="C47" s="6">
        <v>-0.59</v>
      </c>
      <c r="D47" s="6">
        <v>-0.63</v>
      </c>
      <c r="E47" s="6">
        <v>0.57</v>
      </c>
      <c r="F47" s="6">
        <v>-0.4</v>
      </c>
      <c r="G47" s="5">
        <f t="shared" si="1"/>
        <v>-0.252</v>
      </c>
    </row>
    <row r="48">
      <c r="A48" s="3">
        <f t="shared" si="2"/>
        <v>2011</v>
      </c>
      <c r="B48" s="6">
        <v>-0.27</v>
      </c>
      <c r="C48" s="6">
        <v>-0.08</v>
      </c>
      <c r="D48" s="6">
        <v>-0.63</v>
      </c>
      <c r="E48" s="6">
        <v>0.48</v>
      </c>
      <c r="F48" s="6">
        <v>-0.49</v>
      </c>
      <c r="G48" s="5">
        <f t="shared" si="1"/>
        <v>-0.198</v>
      </c>
    </row>
    <row r="49">
      <c r="A49" s="3">
        <f t="shared" si="2"/>
        <v>2012</v>
      </c>
      <c r="B49" s="6">
        <v>-0.23</v>
      </c>
      <c r="C49" s="6">
        <v>-0.28</v>
      </c>
      <c r="D49" s="6">
        <v>-0.65</v>
      </c>
      <c r="E49" s="6">
        <v>0.21</v>
      </c>
      <c r="F49" s="6">
        <v>-0.01</v>
      </c>
      <c r="G49" s="5">
        <f t="shared" si="1"/>
        <v>-0.192</v>
      </c>
    </row>
    <row r="50">
      <c r="A50" s="3">
        <f t="shared" si="2"/>
        <v>2013</v>
      </c>
      <c r="B50" s="6">
        <v>-0.16</v>
      </c>
      <c r="C50" s="6">
        <v>-0.42</v>
      </c>
      <c r="D50" s="6">
        <v>-0.77</v>
      </c>
      <c r="E50" s="6">
        <v>-0.14</v>
      </c>
      <c r="F50" s="6">
        <v>-0.17</v>
      </c>
      <c r="G50" s="5">
        <f t="shared" si="1"/>
        <v>-0.332</v>
      </c>
    </row>
    <row r="51">
      <c r="A51" s="3">
        <f t="shared" si="2"/>
        <v>2014</v>
      </c>
      <c r="B51" s="6">
        <v>0.73</v>
      </c>
      <c r="C51" s="6">
        <v>0.1</v>
      </c>
      <c r="D51" s="6">
        <v>-0.7</v>
      </c>
      <c r="E51" s="6">
        <v>-0.16</v>
      </c>
      <c r="F51" s="6">
        <v>0.08</v>
      </c>
      <c r="G51" s="5">
        <f t="shared" si="1"/>
        <v>0.01</v>
      </c>
    </row>
    <row r="52">
      <c r="A52" s="3">
        <f t="shared" si="2"/>
        <v>2015</v>
      </c>
      <c r="B52" s="6">
        <v>0.97</v>
      </c>
      <c r="C52" s="6">
        <v>-0.22</v>
      </c>
      <c r="D52" s="6">
        <v>-0.76</v>
      </c>
      <c r="E52" s="6">
        <v>-0.52</v>
      </c>
      <c r="F52" s="6">
        <v>-0.61</v>
      </c>
      <c r="G52" s="5">
        <f t="shared" si="1"/>
        <v>-0.228</v>
      </c>
    </row>
    <row r="53">
      <c r="A53" s="3">
        <f t="shared" si="2"/>
        <v>2016</v>
      </c>
      <c r="B53" s="6">
        <v>0.9</v>
      </c>
      <c r="C53" s="6">
        <v>0.02</v>
      </c>
      <c r="D53" s="6">
        <v>-0.88</v>
      </c>
      <c r="E53" s="6">
        <v>-0.61</v>
      </c>
      <c r="F53" s="6">
        <v>-0.96</v>
      </c>
      <c r="G53" s="5">
        <f t="shared" si="1"/>
        <v>-0.306</v>
      </c>
    </row>
    <row r="54">
      <c r="A54" s="3">
        <f t="shared" si="2"/>
        <v>2017</v>
      </c>
      <c r="B54" s="6">
        <v>1.06</v>
      </c>
      <c r="C54" s="6">
        <v>0.47</v>
      </c>
      <c r="D54" s="6">
        <v>0.19</v>
      </c>
      <c r="E54" s="6">
        <v>-0.7</v>
      </c>
      <c r="F54" s="6">
        <v>-0.02</v>
      </c>
      <c r="G54" s="5">
        <f t="shared" si="1"/>
        <v>0.2</v>
      </c>
    </row>
    <row r="55">
      <c r="A55" s="3">
        <f t="shared" si="2"/>
        <v>2018</v>
      </c>
      <c r="B55" s="6">
        <v>0.63</v>
      </c>
      <c r="C55" s="6">
        <v>-0.21</v>
      </c>
      <c r="D55" s="6">
        <v>-0.31</v>
      </c>
      <c r="E55" s="6">
        <v>-0.92</v>
      </c>
      <c r="F55" s="6">
        <v>-0.07</v>
      </c>
      <c r="G55" s="5">
        <f t="shared" si="1"/>
        <v>-0.176</v>
      </c>
    </row>
    <row r="56">
      <c r="A56" s="3">
        <f t="shared" si="2"/>
        <v>2019</v>
      </c>
      <c r="B56" s="6">
        <v>0.59</v>
      </c>
      <c r="C56" s="6">
        <v>1.04</v>
      </c>
      <c r="D56" s="6">
        <v>0.24</v>
      </c>
      <c r="E56" s="6">
        <v>-0.71</v>
      </c>
      <c r="F56" s="6">
        <v>1.48</v>
      </c>
      <c r="G56" s="5">
        <f t="shared" si="1"/>
        <v>0.528</v>
      </c>
    </row>
    <row r="57">
      <c r="A57" s="3">
        <f t="shared" si="2"/>
        <v>2020</v>
      </c>
      <c r="B57" s="6">
        <v>-1.16</v>
      </c>
      <c r="C57" s="6">
        <v>0.13</v>
      </c>
      <c r="D57" s="6">
        <v>-0.38</v>
      </c>
      <c r="E57" s="6">
        <v>-1.16</v>
      </c>
      <c r="F57" s="6">
        <v>-0.5</v>
      </c>
      <c r="G57" s="5">
        <f t="shared" si="1"/>
        <v>-0.614</v>
      </c>
    </row>
    <row r="58">
      <c r="A58" s="3">
        <f t="shared" si="2"/>
        <v>2021</v>
      </c>
      <c r="B58" s="6">
        <v>-1.03</v>
      </c>
      <c r="C58" s="6">
        <v>0.14</v>
      </c>
      <c r="D58" s="6">
        <v>-0.15</v>
      </c>
      <c r="E58" s="6">
        <v>-0.98</v>
      </c>
      <c r="F58" s="6">
        <v>-0.7</v>
      </c>
      <c r="G58" s="5">
        <f t="shared" si="1"/>
        <v>-0.544</v>
      </c>
    </row>
    <row r="59">
      <c r="A59" s="3">
        <f t="shared" si="2"/>
        <v>2022</v>
      </c>
      <c r="B59" s="6">
        <v>-0.61</v>
      </c>
      <c r="C59" s="6">
        <v>0.38</v>
      </c>
      <c r="D59" s="6">
        <v>-0.07</v>
      </c>
      <c r="E59" s="6">
        <v>-0.96</v>
      </c>
      <c r="F59" s="6">
        <v>-0.02</v>
      </c>
      <c r="G59" s="5">
        <f t="shared" si="1"/>
        <v>-0.256</v>
      </c>
    </row>
    <row r="60">
      <c r="A60" s="3">
        <f t="shared" si="2"/>
        <v>2023</v>
      </c>
      <c r="B60" s="6">
        <v>-0.52</v>
      </c>
      <c r="C60" s="6">
        <v>0.24</v>
      </c>
      <c r="D60" s="6">
        <v>0.37</v>
      </c>
      <c r="E60" s="6">
        <v>-1.17</v>
      </c>
      <c r="F60" s="6">
        <v>0.03</v>
      </c>
      <c r="G60" s="5">
        <f t="shared" si="1"/>
        <v>-0.21</v>
      </c>
    </row>
    <row r="61">
      <c r="A61" s="3">
        <f t="shared" si="2"/>
        <v>2024</v>
      </c>
      <c r="B61" s="6">
        <v>0.39</v>
      </c>
      <c r="C61" s="6">
        <v>2.03</v>
      </c>
      <c r="D61" s="6">
        <v>1.95</v>
      </c>
      <c r="E61" s="6">
        <v>0.12</v>
      </c>
      <c r="F61" s="6">
        <v>1.26</v>
      </c>
      <c r="G61" s="5">
        <f t="shared" si="1"/>
        <v>1.15</v>
      </c>
    </row>
    <row r="62">
      <c r="A62" s="3">
        <f t="shared" si="2"/>
        <v>2025</v>
      </c>
      <c r="B62" s="6">
        <v>-0.87</v>
      </c>
      <c r="C62" s="6">
        <v>0.54</v>
      </c>
      <c r="D62" s="6">
        <v>0.58</v>
      </c>
      <c r="E62" s="6">
        <v>-0.97</v>
      </c>
      <c r="F62" s="6">
        <v>-0.38</v>
      </c>
      <c r="G62" s="5">
        <f t="shared" si="1"/>
        <v>-0.22</v>
      </c>
    </row>
  </sheetData>
  <drawing r:id="rId1"/>
</worksheet>
</file>